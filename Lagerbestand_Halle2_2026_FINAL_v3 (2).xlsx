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ger AKTUELL" sheetId="1" state="visible" r:id="rId1"/>
    <sheet name="Bestellungen 2026" sheetId="2" state="visible" r:id="rId2"/>
    <sheet name="Lieferanten" sheetId="3" state="visible" r:id="rId3"/>
    <sheet name="Lager ALT nicht benutzen!" sheetId="4" state="visible" r:id="rId4"/>
    <sheet name="Preise NICHT ANFASSEN" sheetId="5" state="hidden" r:id="rId5"/>
    <sheet name="Tabelle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 &quot;€&quot;"/>
    <numFmt numFmtId="165" formatCode="#,##0.00 &quot;€&quot;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9C0006"/>
    </font>
    <font>
      <i val="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2" fillId="4" borderId="1" pivotButton="0" quotePrefix="0" xfId="0"/>
    <xf numFmtId="0" fontId="0" fillId="2" borderId="0" pivotButton="0" quotePrefix="0" xfId="0"/>
    <xf numFmtId="165" fontId="4" fillId="2" borderId="0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5" fontId="1" fillId="0" borderId="0" pivotButton="0" quotePrefix="0" xfId="0"/>
    <xf numFmtId="0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1" customWidth="1" min="3" max="3"/>
    <col width="13" customWidth="1" min="4" max="4"/>
    <col width="16" customWidth="1" min="5" max="5"/>
    <col width="15" customWidth="1" min="6" max="6"/>
    <col width="11" customWidth="1" min="7" max="7"/>
    <col width="12" customWidth="1" min="8" max="8"/>
    <col width="10" customWidth="1" min="9" max="9"/>
    <col width="14" customWidth="1" min="10" max="10"/>
    <col width="45" customWidth="1" min="11" max="11"/>
    <col hidden="1" width="13" customWidth="1" min="12" max="12"/>
  </cols>
  <sheetData>
    <row r="1">
      <c r="A1" s="1" t="inlineStr">
        <is>
          <t>NORDFIX Befestigungstechnik GmbH  –  LAGERBESTAND HALLE 2</t>
        </is>
      </c>
    </row>
    <row r="2">
      <c r="A2" s="2" t="inlineStr">
        <is>
          <t>Stand: 03.06.2026 (KW 23)   Verantwortlich: K. Brandt   !!! BITTE KEINE ZEILEN LÖSCHEN OHNE RÜCKSPRACHE !!!</t>
        </is>
      </c>
    </row>
    <row r="3">
      <c r="A3" s="3" t="inlineStr">
        <is>
          <t>(Mengen Stichprobe vom 28.05., Rest geschätzt -M.K.)</t>
        </is>
      </c>
    </row>
    <row r="5">
      <c r="A5" s="4" t="inlineStr">
        <is>
          <t>Art.-Nr.</t>
        </is>
      </c>
      <c r="B5" s="4" t="inlineStr">
        <is>
          <t xml:space="preserve">Bezeichnung </t>
        </is>
      </c>
      <c r="C5" s="4" t="inlineStr">
        <is>
          <t>Menge</t>
        </is>
      </c>
      <c r="D5" s="4" t="inlineStr">
        <is>
          <t>Einheit</t>
        </is>
      </c>
      <c r="E5" s="4" t="inlineStr">
        <is>
          <t>Lagerort</t>
        </is>
      </c>
      <c r="F5" s="4" t="inlineStr">
        <is>
          <t>Lieferant</t>
        </is>
      </c>
      <c r="G5" s="4" t="inlineStr">
        <is>
          <t xml:space="preserve">EK Preis </t>
        </is>
      </c>
      <c r="H5" s="4" t="inlineStr">
        <is>
          <t>Wert</t>
        </is>
      </c>
      <c r="I5" s="4" t="inlineStr">
        <is>
          <t>Mind.Best.</t>
        </is>
      </c>
      <c r="J5" s="4" t="inlineStr">
        <is>
          <t>Nachbestellen?</t>
        </is>
      </c>
      <c r="K5" s="4" t="inlineStr">
        <is>
          <t>Bemerkung / Notizen</t>
        </is>
      </c>
      <c r="L5" t="inlineStr">
        <is>
          <t>EK alt (2023) NICHT MEHR PFLEGEN</t>
        </is>
      </c>
    </row>
    <row r="6">
      <c r="A6" s="5" t="inlineStr">
        <is>
          <t>—  SCHRAUBEN  —</t>
        </is>
      </c>
    </row>
    <row r="7">
      <c r="A7" s="6" t="inlineStr">
        <is>
          <t>SCH-0042</t>
        </is>
      </c>
      <c r="B7" s="6" t="inlineStr">
        <is>
          <t>Spanplattenschraube 4x40 verz.</t>
        </is>
      </c>
      <c r="C7" s="6" t="n">
        <v>14500</v>
      </c>
      <c r="D7" s="6" t="inlineStr">
        <is>
          <t>Stk</t>
        </is>
      </c>
      <c r="E7" s="6" t="inlineStr">
        <is>
          <t>R01-A</t>
        </is>
      </c>
      <c r="F7" s="6" t="inlineStr">
        <is>
          <t>Würth</t>
        </is>
      </c>
      <c r="G7" s="7" t="n">
        <v>0.018</v>
      </c>
      <c r="H7" s="8">
        <f>C7*G7</f>
        <v/>
      </c>
      <c r="I7" s="6" t="n">
        <v>5000</v>
      </c>
      <c r="J7" s="6">
        <f>IF(C7&lt;I7,"JA","")</f>
        <v/>
      </c>
      <c r="K7" s="6" t="inlineStr"/>
    </row>
    <row r="8">
      <c r="A8" s="6" t="inlineStr">
        <is>
          <t>SCH-0043</t>
        </is>
      </c>
      <c r="B8" s="6" t="inlineStr">
        <is>
          <t>Spanplattenschraube 4x50 verz.</t>
        </is>
      </c>
      <c r="C8" s="6" t="n">
        <v>9200</v>
      </c>
      <c r="D8" s="6" t="inlineStr">
        <is>
          <t>Stk</t>
        </is>
      </c>
      <c r="E8" s="6" t="inlineStr">
        <is>
          <t>R01-A</t>
        </is>
      </c>
      <c r="F8" s="6" t="inlineStr">
        <is>
          <t>Würth</t>
        </is>
      </c>
      <c r="G8" s="7" t="n">
        <v>0.021</v>
      </c>
      <c r="H8" s="8">
        <f>C8*G8</f>
        <v/>
      </c>
      <c r="I8" s="6" t="n">
        <v>5000</v>
      </c>
      <c r="J8" s="6">
        <f>IF(C8&lt;I8,"JA","")</f>
        <v/>
      </c>
      <c r="K8" s="6" t="inlineStr"/>
    </row>
    <row r="9">
      <c r="A9" s="9" t="inlineStr">
        <is>
          <t>sch-0044</t>
        </is>
      </c>
      <c r="B9" s="9" t="inlineStr">
        <is>
          <t>Spanplattenschr. 5x60</t>
        </is>
      </c>
      <c r="C9" s="9" t="inlineStr">
        <is>
          <t>ca. 3000</t>
        </is>
      </c>
      <c r="D9" s="9" t="inlineStr">
        <is>
          <t>Stk</t>
        </is>
      </c>
      <c r="E9" s="9" t="inlineStr">
        <is>
          <t>R01-B</t>
        </is>
      </c>
      <c r="F9" s="9" t="inlineStr">
        <is>
          <t>Würth</t>
        </is>
      </c>
      <c r="G9" s="10" t="n">
        <v>0.034</v>
      </c>
      <c r="H9" s="11">
        <f>C9*G9</f>
        <v/>
      </c>
      <c r="I9" s="9" t="n">
        <v>4000</v>
      </c>
      <c r="J9" s="12" t="inlineStr">
        <is>
          <t>JA!!</t>
        </is>
      </c>
      <c r="K9" s="9" t="inlineStr">
        <is>
          <t>Karton aufgerissen, neu zählen!</t>
        </is>
      </c>
    </row>
    <row r="10">
      <c r="A10" s="6" t="inlineStr">
        <is>
          <t>SCH_0045 (neu)</t>
        </is>
      </c>
      <c r="B10" s="6" t="inlineStr">
        <is>
          <t>Terrassenschraube A2 5x50 TX25</t>
        </is>
      </c>
      <c r="C10" s="6" t="n">
        <v>6800</v>
      </c>
      <c r="D10" s="6" t="inlineStr">
        <is>
          <t>Stk</t>
        </is>
      </c>
      <c r="E10" s="6" t="inlineStr">
        <is>
          <t>R01-C</t>
        </is>
      </c>
      <c r="F10" s="6" t="inlineStr">
        <is>
          <t>Schrauben-Klaus</t>
        </is>
      </c>
      <c r="G10" s="7" t="n">
        <v>0.11</v>
      </c>
      <c r="H10" s="8">
        <f>C10*G10</f>
        <v/>
      </c>
      <c r="I10" s="6" t="n">
        <v>2000</v>
      </c>
      <c r="J10" s="6">
        <f>IF(C10&lt;I10,"JA","")</f>
        <v/>
      </c>
      <c r="K10" s="6" t="inlineStr">
        <is>
          <t>neuer Artikel seit 04/26</t>
        </is>
      </c>
    </row>
    <row r="11">
      <c r="A11" s="6" t="inlineStr">
        <is>
          <t>SCH-0046</t>
        </is>
      </c>
      <c r="B11" s="6" t="inlineStr">
        <is>
          <t>Sechskantschraube M8x60 8.8</t>
        </is>
      </c>
      <c r="C11" s="6" t="n">
        <v>2340</v>
      </c>
      <c r="D11" s="6" t="inlineStr">
        <is>
          <t>Stk</t>
        </is>
      </c>
      <c r="E11" s="6" t="inlineStr">
        <is>
          <t>R02-A</t>
        </is>
      </c>
      <c r="F11" s="6" t="inlineStr">
        <is>
          <t>Fabory</t>
        </is>
      </c>
      <c r="G11" s="7" t="n">
        <v>0.09</v>
      </c>
      <c r="H11" s="8">
        <f>C11*G11</f>
        <v/>
      </c>
      <c r="I11" s="6" t="n">
        <v>1000</v>
      </c>
      <c r="J11" s="6">
        <f>IF(C11&lt;I11,"JA","")</f>
        <v/>
      </c>
      <c r="K11" s="6" t="inlineStr"/>
    </row>
    <row r="12">
      <c r="A12" s="6" t="inlineStr">
        <is>
          <t>SCH-0047</t>
        </is>
      </c>
      <c r="B12" s="6" t="inlineStr">
        <is>
          <t>Sechskantschraube M10x80 8.8</t>
        </is>
      </c>
      <c r="C12" s="6" t="n">
        <v>980</v>
      </c>
      <c r="D12" s="6" t="inlineStr">
        <is>
          <t>Stk</t>
        </is>
      </c>
      <c r="E12" s="6" t="inlineStr">
        <is>
          <t>R02-A</t>
        </is>
      </c>
      <c r="F12" s="6" t="inlineStr">
        <is>
          <t>Fabory</t>
        </is>
      </c>
      <c r="G12" s="7" t="n">
        <v>0.16</v>
      </c>
      <c r="H12" s="8">
        <f>C12*G12</f>
        <v/>
      </c>
      <c r="I12" s="6" t="n">
        <v>1000</v>
      </c>
      <c r="J12" s="6">
        <f>IF(C12&lt;I12,"JA","")</f>
        <v/>
      </c>
      <c r="K12" s="6" t="inlineStr">
        <is>
          <t>Lieferzeit aktuell 6 Wochen!!</t>
        </is>
      </c>
    </row>
    <row r="13">
      <c r="A13" s="9" t="inlineStr">
        <is>
          <t>SCH-0048</t>
        </is>
      </c>
      <c r="B13" s="9" t="inlineStr">
        <is>
          <t>Sechskant M12x100</t>
        </is>
      </c>
      <c r="C13" s="9" t="n">
        <v>410</v>
      </c>
      <c r="D13" s="9" t="inlineStr">
        <is>
          <t>Stk</t>
        </is>
      </c>
      <c r="E13" s="9" t="inlineStr">
        <is>
          <t>R02-B</t>
        </is>
      </c>
      <c r="F13" s="9" t="inlineStr">
        <is>
          <t>Fabory</t>
        </is>
      </c>
      <c r="G13" s="9" t="inlineStr">
        <is>
          <t>0,28 €</t>
        </is>
      </c>
      <c r="H13" s="11">
        <f>C13*G13</f>
        <v/>
      </c>
      <c r="I13" s="9" t="n">
        <v>500</v>
      </c>
      <c r="J13" s="12" t="inlineStr">
        <is>
          <t>JA!!</t>
        </is>
      </c>
      <c r="K13" s="9" t="inlineStr">
        <is>
          <t>s. Mail v. Hr. Meier 12.05.</t>
        </is>
      </c>
    </row>
    <row r="14">
      <c r="A14" s="6" t="inlineStr">
        <is>
          <t>10455</t>
        </is>
      </c>
      <c r="B14" s="6" t="inlineStr">
        <is>
          <t>Holzbauschraube 8x200 Tellerkopf</t>
        </is>
      </c>
      <c r="C14" s="6" t="n">
        <v>1250</v>
      </c>
      <c r="D14" s="6" t="inlineStr">
        <is>
          <t>Stk</t>
        </is>
      </c>
      <c r="E14" s="6" t="inlineStr">
        <is>
          <t>R02-C</t>
        </is>
      </c>
      <c r="F14" s="6" t="inlineStr">
        <is>
          <t>Heco</t>
        </is>
      </c>
      <c r="G14" s="7" t="n">
        <v>0.42</v>
      </c>
      <c r="H14" s="8">
        <f>C14*G14</f>
        <v/>
      </c>
      <c r="I14" s="6" t="n">
        <v>800</v>
      </c>
      <c r="J14" s="6">
        <f>IF(C14&lt;I14,"JA","")</f>
        <v/>
      </c>
      <c r="K14" s="6" t="inlineStr">
        <is>
          <t>alte Artikelnr. aus AS400!</t>
        </is>
      </c>
    </row>
    <row r="15">
      <c r="A15" s="6" t="inlineStr">
        <is>
          <t>10456</t>
        </is>
      </c>
      <c r="B15" s="6" t="inlineStr">
        <is>
          <t>Holzbauschraube 8x240 Tellerkopf</t>
        </is>
      </c>
      <c r="C15" s="6" t="n">
        <v>760</v>
      </c>
      <c r="D15" s="6" t="inlineStr">
        <is>
          <t>Stk</t>
        </is>
      </c>
      <c r="E15" s="6" t="inlineStr">
        <is>
          <t>R02-C</t>
        </is>
      </c>
      <c r="F15" s="6" t="inlineStr">
        <is>
          <t>Heco</t>
        </is>
      </c>
      <c r="G15" s="7" t="n">
        <v>0.51</v>
      </c>
      <c r="H15" s="8">
        <f>C15*G15</f>
        <v/>
      </c>
      <c r="I15" s="6" t="n">
        <v>800</v>
      </c>
      <c r="J15" s="6">
        <f>IF(C15&lt;I15,"JA","")</f>
        <v/>
      </c>
      <c r="K15" s="6" t="inlineStr"/>
    </row>
    <row r="16">
      <c r="A16" s="6" t="inlineStr">
        <is>
          <t>SCH-0051</t>
        </is>
      </c>
      <c r="B16" s="6" t="inlineStr">
        <is>
          <t>Trockenbauschraube 3,5x35 phosph.</t>
        </is>
      </c>
      <c r="C16" s="6" t="n">
        <v>22000</v>
      </c>
      <c r="D16" s="6" t="inlineStr">
        <is>
          <t>Stk</t>
        </is>
      </c>
      <c r="E16" s="6" t="inlineStr">
        <is>
          <t>R01-D</t>
        </is>
      </c>
      <c r="F16" s="6" t="inlineStr">
        <is>
          <t>Würth</t>
        </is>
      </c>
      <c r="G16" s="7" t="n">
        <v>0.008999999999999999</v>
      </c>
      <c r="H16" s="8">
        <f>C16*G16</f>
        <v/>
      </c>
      <c r="I16" s="6" t="n">
        <v>10000</v>
      </c>
      <c r="J16" s="6">
        <f>IF(C16&lt;I16,"JA","")</f>
        <v/>
      </c>
      <c r="K16" s="6" t="inlineStr"/>
    </row>
    <row r="17">
      <c r="A17" s="6" t="inlineStr">
        <is>
          <t>SCH-0052</t>
        </is>
      </c>
      <c r="B17" s="6" t="inlineStr">
        <is>
          <t>Trockenbauschraube 3.5x45</t>
        </is>
      </c>
      <c r="C17" s="6" t="inlineStr">
        <is>
          <t>18 Kartons</t>
        </is>
      </c>
      <c r="D17" s="6" t="inlineStr">
        <is>
          <t>Karton(1000)</t>
        </is>
      </c>
      <c r="E17" s="6" t="inlineStr">
        <is>
          <t>R01-D</t>
        </is>
      </c>
      <c r="F17" s="6" t="inlineStr">
        <is>
          <t>Würth</t>
        </is>
      </c>
      <c r="G17" s="7" t="n">
        <v>0.011</v>
      </c>
      <c r="H17" s="8">
        <f>C17*G17</f>
        <v/>
      </c>
      <c r="I17" s="6" t="n">
        <v>8000</v>
      </c>
      <c r="J17" s="6">
        <f>IF(C17&lt;I17,"JA","")</f>
        <v/>
      </c>
      <c r="K17" s="6" t="inlineStr">
        <is>
          <t>Einheit umgestellt 02/26 (K.B.)</t>
        </is>
      </c>
    </row>
    <row r="18">
      <c r="A18" s="13" t="n"/>
      <c r="B18" s="4" t="inlineStr">
        <is>
          <t>Zwischensumme Schrauben</t>
        </is>
      </c>
      <c r="C18" s="13" t="n"/>
      <c r="D18" s="13" t="n"/>
      <c r="E18" s="13" t="n"/>
      <c r="F18" s="13" t="n"/>
      <c r="G18" s="13" t="n"/>
      <c r="H18" s="14">
        <f>SUM(H7:H17)</f>
        <v/>
      </c>
      <c r="I18" s="13" t="n"/>
      <c r="J18" s="13" t="n"/>
      <c r="K18" s="13" t="n"/>
    </row>
    <row r="19">
      <c r="A19" s="5" t="inlineStr">
        <is>
          <t>—  DÜBEL / ANKER  —</t>
        </is>
      </c>
    </row>
    <row r="20">
      <c r="A20" s="6" t="inlineStr">
        <is>
          <t>DUE-0101</t>
        </is>
      </c>
      <c r="B20" s="6" t="inlineStr">
        <is>
          <t>Nylondübel 8x40</t>
        </is>
      </c>
      <c r="C20" s="6" t="n">
        <v>8400</v>
      </c>
      <c r="D20" s="6" t="inlineStr">
        <is>
          <t>Stk</t>
        </is>
      </c>
      <c r="E20" s="6" t="inlineStr">
        <is>
          <t>R03-A</t>
        </is>
      </c>
      <c r="F20" s="6" t="inlineStr">
        <is>
          <t>Fischer</t>
        </is>
      </c>
      <c r="G20" s="7" t="n">
        <v>0.025</v>
      </c>
      <c r="H20" s="8">
        <f>C20*G20</f>
        <v/>
      </c>
      <c r="I20" s="6" t="n">
        <v>3000</v>
      </c>
      <c r="J20" s="6">
        <f>IF(C20&lt;I20,"JA","")</f>
        <v/>
      </c>
      <c r="K20" s="6" t="inlineStr"/>
    </row>
    <row r="21">
      <c r="A21" s="6" t="inlineStr">
        <is>
          <t>DUE-0102</t>
        </is>
      </c>
      <c r="B21" s="6" t="inlineStr">
        <is>
          <t>Nylondübel 10x50</t>
        </is>
      </c>
      <c r="C21" s="6" t="n">
        <v>5100</v>
      </c>
      <c r="D21" s="6" t="inlineStr">
        <is>
          <t>Stk</t>
        </is>
      </c>
      <c r="E21" s="6" t="inlineStr">
        <is>
          <t>R03-A</t>
        </is>
      </c>
      <c r="F21" s="6" t="inlineStr">
        <is>
          <t>Fischer</t>
        </is>
      </c>
      <c r="G21" s="7" t="n">
        <v>0.04</v>
      </c>
      <c r="H21" s="8">
        <f>C21*G21</f>
        <v/>
      </c>
      <c r="I21" s="6" t="n">
        <v>3000</v>
      </c>
      <c r="J21" s="6">
        <f>IF(C21&lt;I21,"JA","")</f>
        <v/>
      </c>
      <c r="K21" s="6" t="inlineStr"/>
    </row>
    <row r="22">
      <c r="A22" s="6" t="inlineStr">
        <is>
          <t>DUE-0103</t>
        </is>
      </c>
      <c r="B22" s="6" t="inlineStr">
        <is>
          <t>Schwerlastanker M12</t>
        </is>
      </c>
      <c r="C22" s="6" t="n">
        <v>340</v>
      </c>
      <c r="D22" s="6" t="inlineStr">
        <is>
          <t>Stk</t>
        </is>
      </c>
      <c r="E22" s="6" t="inlineStr">
        <is>
          <t>R03-B</t>
        </is>
      </c>
      <c r="F22" s="6" t="inlineStr">
        <is>
          <t>Fischer</t>
        </is>
      </c>
      <c r="G22" s="7" t="n">
        <v>1.85</v>
      </c>
      <c r="H22" s="8">
        <f>C22*G22</f>
        <v/>
      </c>
      <c r="I22" s="6" t="n">
        <v>200</v>
      </c>
      <c r="J22" s="6">
        <f>IF(C22&lt;I22,"JA","")</f>
        <v/>
      </c>
      <c r="K22" s="6" t="inlineStr"/>
    </row>
    <row r="23">
      <c r="A23" s="6" t="inlineStr">
        <is>
          <t>DUE-0104</t>
        </is>
      </c>
      <c r="B23" s="6" t="inlineStr">
        <is>
          <t>Schwerlastanker M16</t>
        </is>
      </c>
      <c r="C23" s="6" t="n">
        <v>95</v>
      </c>
      <c r="D23" s="6" t="inlineStr">
        <is>
          <t>Stk</t>
        </is>
      </c>
      <c r="E23" s="6" t="inlineStr">
        <is>
          <t>R03-B</t>
        </is>
      </c>
      <c r="F23" s="6" t="inlineStr">
        <is>
          <t>Fischer</t>
        </is>
      </c>
      <c r="G23" s="7" t="n">
        <v>3.2</v>
      </c>
      <c r="H23" s="8">
        <f>C23*G23</f>
        <v/>
      </c>
      <c r="I23" s="6" t="n">
        <v>150</v>
      </c>
      <c r="J23" s="6">
        <f>IF(C23&lt;I23,"JA","")</f>
        <v/>
      </c>
      <c r="K23" s="6" t="inlineStr">
        <is>
          <t>Hr. Wagner fragen vor Bestellung! 0171-2233448</t>
        </is>
      </c>
    </row>
    <row r="24">
      <c r="A24" s="9" t="inlineStr">
        <is>
          <t>DUE-0105</t>
        </is>
      </c>
      <c r="B24" s="9" t="inlineStr">
        <is>
          <t>Injektionsmörtel 300ml</t>
        </is>
      </c>
      <c r="C24" s="9" t="n">
        <v>48</v>
      </c>
      <c r="D24" s="9" t="inlineStr">
        <is>
          <t>Kartusche</t>
        </is>
      </c>
      <c r="E24" s="9" t="inlineStr">
        <is>
          <t>R03-C  (KÜHL!)</t>
        </is>
      </c>
      <c r="F24" s="9" t="inlineStr">
        <is>
          <t>Fischer</t>
        </is>
      </c>
      <c r="G24" s="10" t="n">
        <v>7.9</v>
      </c>
      <c r="H24" s="11">
        <f>C24*G24</f>
        <v/>
      </c>
      <c r="I24" s="9" t="n">
        <v>60</v>
      </c>
      <c r="J24" s="12" t="inlineStr">
        <is>
          <t>JA!!</t>
        </is>
      </c>
      <c r="K24" s="9" t="inlineStr">
        <is>
          <t>MHD beachten!! 3 Stk abgelaufen 05/26</t>
        </is>
      </c>
    </row>
    <row r="25">
      <c r="A25" s="15" t="inlineStr">
        <is>
          <t>DUE-0106</t>
        </is>
      </c>
      <c r="B25" s="15" t="inlineStr">
        <is>
          <t>Gasbetondübel GB 10</t>
        </is>
      </c>
      <c r="C25" s="15" t="n">
        <v>0</v>
      </c>
      <c r="D25" s="15" t="inlineStr">
        <is>
          <t>Stk</t>
        </is>
      </c>
      <c r="E25" s="15" t="inlineStr">
        <is>
          <t>R03-A</t>
        </is>
      </c>
      <c r="F25" s="15" t="inlineStr">
        <is>
          <t>Tox</t>
        </is>
      </c>
      <c r="G25" s="16" t="n">
        <v>0.31</v>
      </c>
      <c r="H25" s="17">
        <f>C25*G25</f>
        <v/>
      </c>
      <c r="I25" s="15" t="n">
        <v>0</v>
      </c>
      <c r="J25" s="15" t="inlineStr">
        <is>
          <t>nein</t>
        </is>
      </c>
      <c r="K25" s="15" t="inlineStr">
        <is>
          <t>AUSGELAUFEN - nicht nachbestellen (M.K. 09/24)</t>
        </is>
      </c>
    </row>
    <row r="26">
      <c r="A26" s="5" t="inlineStr">
        <is>
          <t>—  MUTTERN / SCHEIBEN  —</t>
        </is>
      </c>
    </row>
    <row r="27">
      <c r="A27" s="6" t="inlineStr">
        <is>
          <t>MUT-0201</t>
        </is>
      </c>
      <c r="B27" s="6" t="inlineStr">
        <is>
          <t>Sechskantmutter M8 verz.</t>
        </is>
      </c>
      <c r="C27" s="6" t="n">
        <v>11000</v>
      </c>
      <c r="D27" s="6" t="inlineStr">
        <is>
          <t>Stk</t>
        </is>
      </c>
      <c r="E27" s="6" t="inlineStr">
        <is>
          <t>R04-A</t>
        </is>
      </c>
      <c r="F27" s="6" t="inlineStr">
        <is>
          <t>Fabory</t>
        </is>
      </c>
      <c r="G27" s="7" t="n">
        <v>0.012</v>
      </c>
      <c r="H27" s="8">
        <f>C27*G27</f>
        <v/>
      </c>
      <c r="I27" s="6" t="n">
        <v>4000</v>
      </c>
      <c r="J27" s="6">
        <f>IF(C27&lt;I27,"JA","")</f>
        <v/>
      </c>
      <c r="K27" s="6" t="inlineStr"/>
    </row>
    <row r="28">
      <c r="A28" s="6" t="inlineStr">
        <is>
          <t>MUT-0202</t>
        </is>
      </c>
      <c r="B28" s="6" t="inlineStr">
        <is>
          <t>Sechskantmutter M10 verz.</t>
        </is>
      </c>
      <c r="C28" s="6" t="n">
        <v>7400</v>
      </c>
      <c r="D28" s="6" t="inlineStr">
        <is>
          <t>Stk</t>
        </is>
      </c>
      <c r="E28" s="6" t="inlineStr">
        <is>
          <t>R04-A</t>
        </is>
      </c>
      <c r="F28" s="6" t="inlineStr">
        <is>
          <t>Fabory</t>
        </is>
      </c>
      <c r="G28" s="7" t="n">
        <v>0.019</v>
      </c>
      <c r="H28" s="8">
        <f>C28*G28</f>
        <v/>
      </c>
      <c r="I28" s="6" t="n">
        <v>4000</v>
      </c>
      <c r="J28" s="6">
        <f>IF(C28&lt;I28,"JA","")</f>
        <v/>
      </c>
      <c r="K28" s="6" t="inlineStr"/>
    </row>
    <row r="29">
      <c r="A29" s="9" t="inlineStr">
        <is>
          <t>MUT-0203</t>
        </is>
      </c>
      <c r="B29" s="9" t="inlineStr">
        <is>
          <t>Sechskantmutter M12</t>
        </is>
      </c>
      <c r="C29" s="9" t="n">
        <v>3100</v>
      </c>
      <c r="D29" s="9" t="inlineStr">
        <is>
          <t>Stk</t>
        </is>
      </c>
      <c r="E29" s="9" t="inlineStr">
        <is>
          <t>R04-A</t>
        </is>
      </c>
      <c r="F29" s="9" t="inlineStr">
        <is>
          <t>Fabory</t>
        </is>
      </c>
      <c r="G29" s="9" t="inlineStr">
        <is>
          <t>0,031</t>
        </is>
      </c>
      <c r="H29" s="11">
        <f>C29*G29</f>
        <v/>
      </c>
      <c r="I29" s="9" t="n">
        <v>2000</v>
      </c>
      <c r="J29" s="9">
        <f>IF(C29&lt;I29,"JA","")</f>
        <v/>
      </c>
      <c r="K29" s="9" t="inlineStr">
        <is>
          <t>Preis prüfen - Liste v. 2024?</t>
        </is>
      </c>
    </row>
    <row r="30">
      <c r="A30" s="6" t="inlineStr">
        <is>
          <t>MUT-0204</t>
        </is>
      </c>
      <c r="B30" s="6" t="inlineStr">
        <is>
          <t>Hutmutter M8 A2</t>
        </is>
      </c>
      <c r="C30" s="6" t="n">
        <v>850</v>
      </c>
      <c r="D30" s="6" t="inlineStr">
        <is>
          <t>Stk</t>
        </is>
      </c>
      <c r="E30" s="6" t="inlineStr">
        <is>
          <t>R04-B</t>
        </is>
      </c>
      <c r="F30" s="6" t="inlineStr">
        <is>
          <t>Schrauben-Klaus</t>
        </is>
      </c>
      <c r="G30" s="7" t="n">
        <v>0.14</v>
      </c>
      <c r="H30" s="8">
        <f>C30*G30</f>
        <v/>
      </c>
      <c r="I30" s="6" t="n">
        <v>500</v>
      </c>
      <c r="J30" s="6">
        <f>IF(C30&lt;I30,"JA","")</f>
        <v/>
      </c>
      <c r="K30" s="6" t="inlineStr"/>
    </row>
    <row r="31">
      <c r="A31" s="6" t="inlineStr">
        <is>
          <t>SHB-0301</t>
        </is>
      </c>
      <c r="B31" s="6" t="inlineStr">
        <is>
          <t>Unterlegscheibe M8 DIN125</t>
        </is>
      </c>
      <c r="C31" s="6" t="n">
        <v>18500</v>
      </c>
      <c r="D31" s="6" t="inlineStr">
        <is>
          <t>Stk</t>
        </is>
      </c>
      <c r="E31" s="6" t="inlineStr">
        <is>
          <t>R04-C</t>
        </is>
      </c>
      <c r="F31" s="6" t="inlineStr">
        <is>
          <t>Fabory</t>
        </is>
      </c>
      <c r="G31" s="7" t="n">
        <v>0.004</v>
      </c>
      <c r="H31" s="8">
        <f>C31*G31</f>
        <v/>
      </c>
      <c r="I31" s="6" t="n">
        <v>8000</v>
      </c>
      <c r="J31" s="6">
        <f>IF(C31&lt;I31,"JA","")</f>
        <v/>
      </c>
      <c r="K31" s="6" t="inlineStr"/>
    </row>
    <row r="32">
      <c r="A32" s="6" t="inlineStr">
        <is>
          <t>SHB-0302</t>
        </is>
      </c>
      <c r="B32" s="6" t="inlineStr">
        <is>
          <t>Unterlegscheibe M10 DIN125</t>
        </is>
      </c>
      <c r="C32" s="6" t="n">
        <v>12200</v>
      </c>
      <c r="D32" s="6" t="inlineStr">
        <is>
          <t>Stk</t>
        </is>
      </c>
      <c r="E32" s="6" t="inlineStr">
        <is>
          <t>R04-C</t>
        </is>
      </c>
      <c r="F32" s="6" t="inlineStr">
        <is>
          <t>Fabory</t>
        </is>
      </c>
      <c r="G32" s="7" t="n">
        <v>0.006</v>
      </c>
      <c r="H32" s="8">
        <f>C32*G32</f>
        <v/>
      </c>
      <c r="I32" s="6" t="n">
        <v>8000</v>
      </c>
      <c r="J32" s="6">
        <f>IF(C32&lt;I32,"JA","")</f>
        <v/>
      </c>
      <c r="K32" s="6" t="inlineStr"/>
    </row>
    <row r="33">
      <c r="A33" s="9" t="inlineStr">
        <is>
          <t>SHB-0302a</t>
        </is>
      </c>
      <c r="B33" s="9" t="inlineStr">
        <is>
          <t>Unterlegscheibe M10 DIN 125 (groß)</t>
        </is>
      </c>
      <c r="C33" s="9" t="n">
        <v>2100</v>
      </c>
      <c r="D33" s="9" t="inlineStr">
        <is>
          <t>Stk</t>
        </is>
      </c>
      <c r="E33" s="9" t="inlineStr">
        <is>
          <t>R04-C</t>
        </is>
      </c>
      <c r="F33" s="9" t="inlineStr">
        <is>
          <t>Fabory</t>
        </is>
      </c>
      <c r="G33" s="10" t="n">
        <v>0.008999999999999999</v>
      </c>
      <c r="H33" s="11">
        <f>C33*G33</f>
        <v/>
      </c>
      <c r="I33" s="9" t="n">
        <v>1000</v>
      </c>
      <c r="J33" s="9">
        <f>IF(C33&lt;I33,"JA","")</f>
        <v/>
      </c>
      <c r="K33" s="9" t="inlineStr">
        <is>
          <t>Doppelt mit SHB-0302?? klären -J.</t>
        </is>
      </c>
    </row>
    <row r="34">
      <c r="A34" s="5" t="inlineStr">
        <is>
          <t>—  WERKZEUG / SONSTIGES  —</t>
        </is>
      </c>
    </row>
    <row r="35">
      <c r="A35" s="6" t="inlineStr">
        <is>
          <t>WKZ-0401</t>
        </is>
      </c>
      <c r="B35" s="6" t="inlineStr">
        <is>
          <t>Bit-Set TX 32-tlg</t>
        </is>
      </c>
      <c r="C35" s="6" t="n">
        <v>26</v>
      </c>
      <c r="D35" s="6" t="inlineStr">
        <is>
          <t>Set</t>
        </is>
      </c>
      <c r="E35" s="6" t="inlineStr">
        <is>
          <t>R05-A</t>
        </is>
      </c>
      <c r="F35" s="6" t="inlineStr">
        <is>
          <t>Wera</t>
        </is>
      </c>
      <c r="G35" s="7" t="n">
        <v>18.5</v>
      </c>
      <c r="H35" s="8">
        <f>C35*G35</f>
        <v/>
      </c>
      <c r="I35" s="6" t="n">
        <v>10</v>
      </c>
      <c r="J35" s="6">
        <f>IF(C35&lt;I35,"JA","")</f>
        <v/>
      </c>
      <c r="K35" s="6" t="inlineStr"/>
    </row>
    <row r="36">
      <c r="A36" s="6" t="inlineStr">
        <is>
          <t>WKZ-0402</t>
        </is>
      </c>
      <c r="B36" s="6" t="inlineStr">
        <is>
          <t>Bohrer-Kassette HSS 1-10mm</t>
        </is>
      </c>
      <c r="C36" s="6" t="n">
        <v>14</v>
      </c>
      <c r="D36" s="6" t="inlineStr">
        <is>
          <t>Set</t>
        </is>
      </c>
      <c r="E36" s="6" t="inlineStr">
        <is>
          <t>R05-A</t>
        </is>
      </c>
      <c r="F36" s="6" t="inlineStr">
        <is>
          <t>Bosch</t>
        </is>
      </c>
      <c r="G36" s="7" t="n">
        <v>24.9</v>
      </c>
      <c r="H36" s="8">
        <f>C36*G36</f>
        <v/>
      </c>
      <c r="I36" s="6" t="n">
        <v>10</v>
      </c>
      <c r="J36" s="6">
        <f>IF(C36&lt;I36,"JA","")</f>
        <v/>
      </c>
      <c r="K36" s="6" t="inlineStr"/>
    </row>
    <row r="37">
      <c r="A37" s="15" t="inlineStr">
        <is>
          <t>WKZ-0403</t>
        </is>
      </c>
      <c r="B37" s="15" t="inlineStr">
        <is>
          <t>Akkuschrauber GSR 18V (Vorführgerät)</t>
        </is>
      </c>
      <c r="C37" s="15" t="n">
        <v>3</v>
      </c>
      <c r="D37" s="15" t="inlineStr">
        <is>
          <t>Stk</t>
        </is>
      </c>
      <c r="E37" s="15" t="inlineStr">
        <is>
          <t>Büro Hr. Brandt</t>
        </is>
      </c>
      <c r="F37" s="15" t="inlineStr">
        <is>
          <t>Bosch</t>
        </is>
      </c>
      <c r="G37" s="16" t="n">
        <v>129</v>
      </c>
      <c r="H37" s="17">
        <f>C37*G37</f>
        <v/>
      </c>
      <c r="I37" s="15" t="n">
        <v>0</v>
      </c>
      <c r="J37" s="15" t="inlineStr">
        <is>
          <t>nein</t>
        </is>
      </c>
      <c r="K37" s="15" t="inlineStr">
        <is>
          <t>nur intern, NICHT verkaufen</t>
        </is>
      </c>
    </row>
    <row r="38">
      <c r="A38" s="15" t="inlineStr">
        <is>
          <t>ALT-0001</t>
        </is>
      </c>
      <c r="B38" s="15" t="inlineStr">
        <is>
          <t>Kreuzschlitzschraube 4x40 (alt)</t>
        </is>
      </c>
      <c r="C38" s="15" t="n">
        <v>6300</v>
      </c>
      <c r="D38" s="15" t="inlineStr">
        <is>
          <t>Stk</t>
        </is>
      </c>
      <c r="E38" s="15" t="inlineStr">
        <is>
          <t>R09-?</t>
        </is>
      </c>
      <c r="F38" s="15" t="inlineStr">
        <is>
          <t>???</t>
        </is>
      </c>
      <c r="G38" s="16" t="n">
        <v>0.015</v>
      </c>
      <c r="H38" s="17">
        <f>C38*G38</f>
        <v/>
      </c>
      <c r="I38" s="15" t="n">
        <v>0</v>
      </c>
      <c r="J38" s="15" t="inlineStr">
        <is>
          <t>nein</t>
        </is>
      </c>
      <c r="K38" s="15" t="inlineStr">
        <is>
          <t>Restbestand Übernahme Fa. Petersen 2019, abverkaufen</t>
        </is>
      </c>
    </row>
    <row r="39">
      <c r="A39" s="6" t="inlineStr">
        <is>
          <t>DIV-0501</t>
        </is>
      </c>
      <c r="B39" s="6" t="inlineStr">
        <is>
          <t>Kabelbinder 200mm schwarz</t>
        </is>
      </c>
      <c r="C39" s="6" t="inlineStr">
        <is>
          <t>ca. 40 Beutel</t>
        </is>
      </c>
      <c r="D39" s="6" t="inlineStr">
        <is>
          <t>Beutel(100)</t>
        </is>
      </c>
      <c r="E39" s="6" t="inlineStr">
        <is>
          <t>R05-C</t>
        </is>
      </c>
      <c r="F39" s="6" t="inlineStr">
        <is>
          <t>Hellermann</t>
        </is>
      </c>
      <c r="G39" s="7" t="n">
        <v>1.2</v>
      </c>
      <c r="H39" s="8">
        <f>C39*G39</f>
        <v/>
      </c>
      <c r="I39" s="6" t="n">
        <v>30</v>
      </c>
      <c r="J39" s="6">
        <f>IF(C39&lt;I39,"JA","")</f>
        <v/>
      </c>
      <c r="K39" s="6" t="inlineStr"/>
    </row>
    <row r="40">
      <c r="A40" s="6" t="inlineStr">
        <is>
          <t>DIV-0502</t>
        </is>
      </c>
      <c r="B40" s="6" t="inlineStr">
        <is>
          <t>Sprühöl 400ml</t>
        </is>
      </c>
      <c r="C40" s="6" t="n">
        <v>72</v>
      </c>
      <c r="D40" s="6" t="inlineStr">
        <is>
          <t>Dose</t>
        </is>
      </c>
      <c r="E40" s="6" t="inlineStr">
        <is>
          <t>R05-D GEFAHRGUT</t>
        </is>
      </c>
      <c r="F40" s="6" t="inlineStr">
        <is>
          <t>WD-40</t>
        </is>
      </c>
      <c r="G40" s="7" t="n">
        <v>3.4</v>
      </c>
      <c r="H40" s="8">
        <f>C40*G40</f>
        <v/>
      </c>
      <c r="I40" s="6" t="n">
        <v>50</v>
      </c>
      <c r="J40" s="6">
        <f>IF(C40&lt;I40,"JA","")</f>
        <v/>
      </c>
      <c r="K40" s="6" t="inlineStr">
        <is>
          <t>Lagerung: max 100 Dosen (Brandschutz!)</t>
        </is>
      </c>
    </row>
    <row r="43">
      <c r="F43" s="1" t="inlineStr">
        <is>
          <t>GESAMTWERT LAGER:</t>
        </is>
      </c>
      <c r="H43" s="18">
        <f>SUM(H6:H40)</f>
        <v/>
      </c>
    </row>
    <row r="44">
      <c r="F44" s="3" t="inlineStr">
        <is>
          <t>(ohne Halle 1! siehe alte Datei auf Q:\Lager\2023\)</t>
        </is>
      </c>
    </row>
  </sheetData>
  <mergeCells count="6">
    <mergeCell ref="A6:K6"/>
    <mergeCell ref="A34:K34"/>
    <mergeCell ref="A26:K26"/>
    <mergeCell ref="A2:K2"/>
    <mergeCell ref="A19:K19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9" customWidth="1" min="4" max="4"/>
    <col width="16" customWidth="1" min="5" max="5"/>
    <col width="12" customWidth="1" min="6" max="6"/>
    <col width="20" customWidth="1" min="7" max="7"/>
  </cols>
  <sheetData>
    <row r="1">
      <c r="A1" s="1" t="inlineStr">
        <is>
          <t>Bestellungen 2026 (nur Halle 2!)</t>
        </is>
      </c>
    </row>
    <row r="3">
      <c r="A3" s="4" t="inlineStr">
        <is>
          <t>Datum</t>
        </is>
      </c>
      <c r="B3" s="4" t="inlineStr">
        <is>
          <t>Art.-Nr.</t>
        </is>
      </c>
      <c r="C3" s="4" t="inlineStr">
        <is>
          <t>Menge</t>
        </is>
      </c>
      <c r="D3" s="4" t="inlineStr">
        <is>
          <t>Lieferant</t>
        </is>
      </c>
      <c r="E3" s="4" t="inlineStr">
        <is>
          <t>bestellt von</t>
        </is>
      </c>
      <c r="F3" s="4" t="inlineStr">
        <is>
          <t>geliefert?</t>
        </is>
      </c>
    </row>
    <row r="4">
      <c r="A4" t="inlineStr">
        <is>
          <t>06.01.2026</t>
        </is>
      </c>
      <c r="B4" t="inlineStr">
        <is>
          <t>SCH-0042</t>
        </is>
      </c>
      <c r="C4" t="n">
        <v>20000</v>
      </c>
      <c r="D4" t="inlineStr">
        <is>
          <t>Würth</t>
        </is>
      </c>
      <c r="E4" t="inlineStr">
        <is>
          <t>KB</t>
        </is>
      </c>
      <c r="F4" t="inlineStr">
        <is>
          <t>ja</t>
        </is>
      </c>
    </row>
    <row r="5">
      <c r="A5" t="inlineStr">
        <is>
          <t>19.01.2026</t>
        </is>
      </c>
      <c r="B5" t="inlineStr">
        <is>
          <t>DUE-0103</t>
        </is>
      </c>
      <c r="C5" t="n">
        <v>500</v>
      </c>
      <c r="D5" t="inlineStr">
        <is>
          <t>Fischer</t>
        </is>
      </c>
      <c r="E5" t="inlineStr">
        <is>
          <t>KB</t>
        </is>
      </c>
      <c r="F5" t="inlineStr">
        <is>
          <t>ja</t>
        </is>
      </c>
    </row>
    <row r="6">
      <c r="A6" t="inlineStr">
        <is>
          <t>02.02.2026</t>
        </is>
      </c>
      <c r="B6" t="inlineStr">
        <is>
          <t>MUT-0201</t>
        </is>
      </c>
      <c r="C6" t="n">
        <v>10000</v>
      </c>
      <c r="D6" t="inlineStr">
        <is>
          <t>Fabory</t>
        </is>
      </c>
      <c r="E6" t="inlineStr">
        <is>
          <t>MK</t>
        </is>
      </c>
      <c r="F6" t="inlineStr">
        <is>
          <t>ja</t>
        </is>
      </c>
    </row>
    <row r="7">
      <c r="A7" t="inlineStr">
        <is>
          <t>17.2.</t>
        </is>
      </c>
      <c r="B7" t="inlineStr">
        <is>
          <t>SHB-0301</t>
        </is>
      </c>
      <c r="C7" t="n">
        <v>20000</v>
      </c>
      <c r="D7" t="inlineStr">
        <is>
          <t>Fabory</t>
        </is>
      </c>
      <c r="E7" t="inlineStr">
        <is>
          <t>MK</t>
        </is>
      </c>
      <c r="F7" t="inlineStr">
        <is>
          <t>ja</t>
        </is>
      </c>
    </row>
    <row r="8">
      <c r="A8" t="inlineStr">
        <is>
          <t>Anfang März</t>
        </is>
      </c>
      <c r="B8" t="inlineStr">
        <is>
          <t>WKZ-0401</t>
        </is>
      </c>
      <c r="C8" t="n">
        <v>20</v>
      </c>
      <c r="D8" t="inlineStr">
        <is>
          <t>Wera</t>
        </is>
      </c>
      <c r="E8" t="inlineStr">
        <is>
          <t>JS</t>
        </is>
      </c>
      <c r="F8" t="inlineStr">
        <is>
          <t>ja (1 defekt)</t>
        </is>
      </c>
    </row>
    <row r="10">
      <c r="A10" s="19" t="inlineStr">
        <is>
          <t>Datum</t>
        </is>
      </c>
      <c r="B10" s="19" t="inlineStr">
        <is>
          <t>Bestell-Nr.</t>
        </is>
      </c>
      <c r="C10" s="19" t="inlineStr">
        <is>
          <t>Art.-Nr.</t>
        </is>
      </c>
      <c r="D10" s="19" t="inlineStr">
        <is>
          <t>Menge</t>
        </is>
      </c>
      <c r="E10" s="19" t="inlineStr">
        <is>
          <t>Lieferant</t>
        </is>
      </c>
      <c r="F10" s="19" t="inlineStr">
        <is>
          <t>bestellt von</t>
        </is>
      </c>
      <c r="G10" s="19" t="inlineStr">
        <is>
          <t>geliefert?</t>
        </is>
      </c>
    </row>
    <row r="11">
      <c r="A11" t="inlineStr">
        <is>
          <t>23.03.2026</t>
        </is>
      </c>
      <c r="B11" t="inlineStr">
        <is>
          <t>B-2026-031</t>
        </is>
      </c>
      <c r="C11" t="inlineStr">
        <is>
          <t>SCH-0047</t>
        </is>
      </c>
      <c r="D11" t="n">
        <v>2000</v>
      </c>
      <c r="E11" t="inlineStr">
        <is>
          <t>Fabory</t>
        </is>
      </c>
      <c r="F11" t="inlineStr">
        <is>
          <t>KB</t>
        </is>
      </c>
      <c r="G11" t="inlineStr">
        <is>
          <t>ja</t>
        </is>
      </c>
    </row>
    <row r="12">
      <c r="A12" t="inlineStr">
        <is>
          <t>08.04.2026</t>
        </is>
      </c>
      <c r="B12" t="inlineStr">
        <is>
          <t>B-2026-038</t>
        </is>
      </c>
      <c r="C12" t="inlineStr">
        <is>
          <t>DUE-0105</t>
        </is>
      </c>
      <c r="D12" t="n">
        <v>100</v>
      </c>
      <c r="E12" t="inlineStr">
        <is>
          <t>Fischer</t>
        </is>
      </c>
      <c r="F12" t="inlineStr">
        <is>
          <t>KB</t>
        </is>
      </c>
      <c r="G12" t="inlineStr">
        <is>
          <t>TEILLIEFERUNG 60 Stk!</t>
        </is>
      </c>
    </row>
    <row r="13">
      <c r="A13" t="inlineStr">
        <is>
          <t>2026-04-29</t>
        </is>
      </c>
      <c r="B13" t="inlineStr">
        <is>
          <t>B-2026-044</t>
        </is>
      </c>
      <c r="C13" t="inlineStr">
        <is>
          <t>SCH_0045 (neu)</t>
        </is>
      </c>
      <c r="D13" t="n">
        <v>10000</v>
      </c>
      <c r="E13" t="inlineStr">
        <is>
          <t>Schrauben-Klaus</t>
        </is>
      </c>
      <c r="F13" t="inlineStr">
        <is>
          <t>JS</t>
        </is>
      </c>
      <c r="G13" t="inlineStr">
        <is>
          <t>ja</t>
        </is>
      </c>
    </row>
    <row r="14">
      <c r="A14" t="inlineStr">
        <is>
          <t>12.05.2026</t>
        </is>
      </c>
      <c r="B14" t="inlineStr">
        <is>
          <t>B-2026-051</t>
        </is>
      </c>
      <c r="C14" t="inlineStr">
        <is>
          <t>SCH-0048</t>
        </is>
      </c>
      <c r="D14" t="n">
        <v>1000</v>
      </c>
      <c r="E14" t="inlineStr">
        <is>
          <t>Fabory</t>
        </is>
      </c>
      <c r="F14" t="inlineStr">
        <is>
          <t>KB</t>
        </is>
      </c>
      <c r="G14" t="inlineStr">
        <is>
          <t>offen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6" customWidth="1" min="3" max="3"/>
    <col width="38" customWidth="1" min="4" max="4"/>
  </cols>
  <sheetData>
    <row r="1">
      <c r="A1" s="1" t="inlineStr">
        <is>
          <t>Lieferanten &amp; Konditionen</t>
        </is>
      </c>
    </row>
    <row r="3">
      <c r="A3" s="4" t="inlineStr">
        <is>
          <t>Firma</t>
        </is>
      </c>
      <c r="B3" s="4" t="inlineStr">
        <is>
          <t>Kontakt (alles)</t>
        </is>
      </c>
      <c r="C3" s="4" t="inlineStr">
        <is>
          <t>Rabatt</t>
        </is>
      </c>
      <c r="D3" s="4" t="inlineStr">
        <is>
          <t>Bemerkung</t>
        </is>
      </c>
    </row>
    <row r="4">
      <c r="A4" t="inlineStr">
        <is>
          <t>Würth</t>
        </is>
      </c>
      <c r="B4" t="inlineStr">
        <is>
          <t>Hr. Petersen 0171-4456120 lars.petersen@wuerth-nl-hh.de / Vertretung: Fr. Aydin</t>
        </is>
      </c>
      <c r="C4" t="inlineStr">
        <is>
          <t>Staffel s. Preisliste</t>
        </is>
      </c>
      <c r="D4" t="inlineStr">
        <is>
          <t>Rahmenvertrag bis 12/2026</t>
        </is>
      </c>
    </row>
    <row r="5">
      <c r="A5" t="inlineStr">
        <is>
          <t>Fabory</t>
        </is>
      </c>
      <c r="B5" t="inlineStr">
        <is>
          <t>service@fabory.com Hotline 0800-3322874, Kundennr. 449-2231-K</t>
        </is>
      </c>
      <c r="C5" t="inlineStr">
        <is>
          <t>8%</t>
        </is>
      </c>
      <c r="D5" t="inlineStr">
        <is>
          <t>Lieferzeiten seit 03/26 schlecht!</t>
        </is>
      </c>
    </row>
    <row r="6">
      <c r="A6" t="inlineStr">
        <is>
          <t>Fischer</t>
        </is>
      </c>
      <c r="B6" t="inlineStr">
        <is>
          <t>Hr. Wagner (Außendienst) 0171-2233448</t>
        </is>
      </c>
      <c r="C6" t="inlineStr">
        <is>
          <t>12% ab 500€</t>
        </is>
      </c>
      <c r="D6" t="inlineStr">
        <is>
          <t>IMMER Hr. Wagner direkt anrufen, Webshop-Preise stimmen nicht</t>
        </is>
      </c>
    </row>
    <row r="7">
      <c r="A7" t="inlineStr">
        <is>
          <t xml:space="preserve">Schrauben-Klaus </t>
        </is>
      </c>
      <c r="B7" t="inlineStr">
        <is>
          <t>Klaus 04101-55872 (vormittags)</t>
        </is>
      </c>
      <c r="C7" t="inlineStr">
        <is>
          <t>-</t>
        </is>
      </c>
      <c r="D7" t="inlineStr">
        <is>
          <t>Barzahlung Skonto 2%, Kleinmengen ok</t>
        </is>
      </c>
    </row>
    <row r="8">
      <c r="A8" t="inlineStr">
        <is>
          <t>Heco</t>
        </is>
      </c>
      <c r="B8" t="inlineStr">
        <is>
          <t>über Großhandel Petersen &amp; Co</t>
        </is>
      </c>
      <c r="C8" t="inlineStr">
        <is>
          <t>?</t>
        </is>
      </c>
      <c r="D8" t="inlineStr">
        <is>
          <t>Konditionen klären -KB</t>
        </is>
      </c>
    </row>
    <row r="9">
      <c r="A9" t="inlineStr">
        <is>
          <t>Wera / Bosch</t>
        </is>
      </c>
      <c r="B9" t="inlineStr">
        <is>
          <t>über Werkzeug-Zentrale Nord, Fr. Schulz</t>
        </is>
      </c>
      <c r="C9" t="inlineStr">
        <is>
          <t>Liste 2024</t>
        </is>
      </c>
      <c r="D9" t="inlineStr">
        <is>
          <t>Preisliste 2026 anfordern!!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LAGERLISTE  (Übernahme aus AS400, Stand 11/2023)</t>
        </is>
      </c>
    </row>
    <row r="2">
      <c r="A2" s="2" t="inlineStr">
        <is>
          <t>ACHTUNG: veraltet!! aktuelle Liste siehe Blatt 'Lager AKTUELL'</t>
        </is>
      </c>
    </row>
    <row r="4">
      <c r="A4" s="20" t="inlineStr">
        <is>
          <t>Nr</t>
        </is>
      </c>
      <c r="B4" s="20" t="inlineStr">
        <is>
          <t>Menge</t>
        </is>
      </c>
      <c r="C4" s="20" t="inlineStr">
        <is>
          <t>Artikel</t>
        </is>
      </c>
      <c r="D4" s="20" t="inlineStr">
        <is>
          <t>Platz</t>
        </is>
      </c>
      <c r="E4" s="20" t="inlineStr">
        <is>
          <t>Preis DM/EUR umgerechnet</t>
        </is>
      </c>
    </row>
    <row r="5">
      <c r="A5" t="n">
        <v>10452</v>
      </c>
      <c r="B5" t="n">
        <v>9000</v>
      </c>
      <c r="C5" t="inlineStr">
        <is>
          <t>Spanplattenschraube 4x40</t>
        </is>
      </c>
      <c r="D5" t="inlineStr">
        <is>
          <t>A-01</t>
        </is>
      </c>
      <c r="E5" t="n">
        <v>0.016</v>
      </c>
    </row>
    <row r="6">
      <c r="A6" t="n">
        <v>10453</v>
      </c>
      <c r="B6" t="n">
        <v>4000</v>
      </c>
      <c r="C6" t="inlineStr">
        <is>
          <t>Spanplattenschraube 4x50</t>
        </is>
      </c>
      <c r="D6" t="inlineStr">
        <is>
          <t>A-01</t>
        </is>
      </c>
      <c r="E6" t="n">
        <v>0.019</v>
      </c>
    </row>
    <row r="7">
      <c r="A7" t="n">
        <v>10455</v>
      </c>
      <c r="B7" t="n">
        <v>2200</v>
      </c>
      <c r="C7" t="inlineStr">
        <is>
          <t>Holzbauschraube 8x200</t>
        </is>
      </c>
      <c r="D7" t="inlineStr">
        <is>
          <t>B-04</t>
        </is>
      </c>
      <c r="E7" t="n">
        <v>0.39</v>
      </c>
    </row>
    <row r="8">
      <c r="A8" t="n">
        <v>10460</v>
      </c>
      <c r="B8" t="n">
        <v>15000</v>
      </c>
      <c r="C8" t="inlineStr">
        <is>
          <t>Kreuzschlitz 4x40</t>
        </is>
      </c>
      <c r="D8" t="inlineStr">
        <is>
          <t>A-02</t>
        </is>
      </c>
      <c r="E8" t="n">
        <v>0.015</v>
      </c>
    </row>
    <row r="9">
      <c r="A9" t="n">
        <v>10471</v>
      </c>
      <c r="B9" t="n">
        <v>7000</v>
      </c>
      <c r="C9" t="inlineStr">
        <is>
          <t>Dübel 8mm</t>
        </is>
      </c>
      <c r="D9" t="inlineStr">
        <is>
          <t>C-01</t>
        </is>
      </c>
      <c r="E9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VK-Kalkulation (Basis für Angebote!) - nur K. Brandt</t>
        </is>
      </c>
    </row>
    <row r="3">
      <c r="A3" s="20" t="inlineStr">
        <is>
          <t>Art.-Nr.</t>
        </is>
      </c>
      <c r="B3" s="20" t="inlineStr">
        <is>
          <t>EK</t>
        </is>
      </c>
      <c r="C3" s="20" t="inlineStr">
        <is>
          <t>Faktor</t>
        </is>
      </c>
      <c r="D3" s="20" t="inlineStr">
        <is>
          <t>VK netto</t>
        </is>
      </c>
      <c r="E3" s="20" t="inlineStr">
        <is>
          <t>VK brutto</t>
        </is>
      </c>
    </row>
    <row r="4">
      <c r="A4" t="inlineStr">
        <is>
          <t>SCH-0042</t>
        </is>
      </c>
      <c r="B4" t="n">
        <v>0.018</v>
      </c>
      <c r="C4" t="n">
        <v>2.8</v>
      </c>
      <c r="D4">
        <f>B4*C4</f>
        <v/>
      </c>
      <c r="E4">
        <f>D4*1.19</f>
        <v/>
      </c>
    </row>
    <row r="5">
      <c r="A5" t="inlineStr">
        <is>
          <t>SCH-0046</t>
        </is>
      </c>
      <c r="B5" t="n">
        <v>0.09</v>
      </c>
      <c r="C5" t="n">
        <v>2.4</v>
      </c>
      <c r="D5">
        <f>B5*C5</f>
        <v/>
      </c>
      <c r="E5">
        <f>D5*1.19</f>
        <v/>
      </c>
    </row>
    <row r="6">
      <c r="A6" t="inlineStr">
        <is>
          <t>DUE-0103</t>
        </is>
      </c>
      <c r="B6" t="n">
        <v>1.85</v>
      </c>
      <c r="C6" t="n">
        <v>2.1</v>
      </c>
      <c r="D6">
        <f>B6*C6</f>
        <v/>
      </c>
      <c r="E6">
        <f>D6*1.19</f>
        <v/>
      </c>
    </row>
    <row r="7">
      <c r="A7" t="inlineStr">
        <is>
          <t>WKZ-0401</t>
        </is>
      </c>
      <c r="B7" t="n">
        <v>18.5</v>
      </c>
      <c r="C7" t="n">
        <v>1.6</v>
      </c>
      <c r="D7">
        <f>B7*C7</f>
        <v/>
      </c>
      <c r="E7">
        <f>D7*1.19</f>
        <v/>
      </c>
    </row>
    <row r="8">
      <c r="A8" t="inlineStr">
        <is>
          <t>DIV-0502</t>
        </is>
      </c>
      <c r="B8" t="n">
        <v>3.4</v>
      </c>
      <c r="C8" t="n">
        <v>2.2</v>
      </c>
      <c r="D8">
        <f>B8*C8</f>
        <v/>
      </c>
      <c r="E8">
        <f>D8*1.19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2026-06-12T13:42:34Z</dcterms:created>
  <dcterms:modified xsi:type="dcterms:W3CDTF">2026-06-12T13:42:34Z</dcterms:modified>
</cp:coreProperties>
</file>